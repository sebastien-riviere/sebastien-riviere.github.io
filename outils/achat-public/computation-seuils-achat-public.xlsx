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C:\Users\Sébastien\Desktop\sebastien-riviere.github.io\outils\achat-public\"/>
    </mc:Choice>
  </mc:AlternateContent>
  <xr:revisionPtr revIDLastSave="0" documentId="8_{AD9E6685-1EF7-4DBC-9502-82842A16E998}" xr6:coauthVersionLast="47" xr6:coauthVersionMax="47" xr10:uidLastSave="{00000000-0000-0000-0000-000000000000}"/>
  <bookViews>
    <workbookView xWindow="-120" yWindow="480" windowWidth="20730" windowHeight="11160" activeTab="3" xr2:uid="{00000000-000D-0000-FFFF-FFFF00000000}"/>
  </bookViews>
  <sheets>
    <sheet name="Paramètres" sheetId="1" r:id="rId1"/>
    <sheet name="Feuil1" sheetId="5" r:id="rId2"/>
    <sheet name="Saisie" sheetId="2" r:id="rId3"/>
    <sheet name="Tableau de bord" sheetId="3" r:id="rId4"/>
    <sheet name="Aide &amp; sources" sheetId="4" r:id="rId5"/>
  </sheets>
  <definedNames>
    <definedName name="Familles">Paramètres!$F$3:$F$18</definedName>
    <definedName name="TypesAcheteur">Paramètres!$H$3:$H$5</definedName>
  </definedNames>
  <calcPr calcId="191029"/>
  <pivotCaches>
    <pivotCache cacheId="4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 l="1"/>
  <c r="G6" i="2" s="1"/>
  <c r="C5" i="2"/>
  <c r="G5" i="2" s="1"/>
  <c r="C4" i="2"/>
  <c r="G4" i="2" s="1"/>
  <c r="C3" i="2"/>
  <c r="G3" i="2" s="1"/>
  <c r="C2" i="2"/>
  <c r="G2" i="2" s="1"/>
  <c r="B7" i="1"/>
  <c r="A14" i="1" s="1"/>
  <c r="B4" i="1"/>
  <c r="B6" i="1" s="1"/>
  <c r="C24" i="3"/>
  <c r="B24" i="3"/>
  <c r="C23" i="3"/>
  <c r="B23" i="3"/>
  <c r="F22" i="3"/>
  <c r="C22" i="3"/>
  <c r="B22" i="3"/>
  <c r="C21" i="3"/>
  <c r="B21" i="3"/>
  <c r="C20" i="3"/>
  <c r="B20" i="3"/>
  <c r="C18" i="3"/>
  <c r="G18" i="3" s="1"/>
  <c r="B18" i="3"/>
  <c r="F17" i="3"/>
  <c r="C17" i="3"/>
  <c r="B17" i="3"/>
  <c r="C16" i="3"/>
  <c r="B16" i="3"/>
  <c r="C15" i="3"/>
  <c r="B15" i="3"/>
  <c r="C14" i="3"/>
  <c r="B14" i="3"/>
  <c r="C13" i="3"/>
  <c r="B13" i="3"/>
  <c r="C11" i="3"/>
  <c r="B11" i="3"/>
  <c r="C9" i="3"/>
  <c r="B9" i="3"/>
  <c r="B19" i="3" l="1"/>
  <c r="C19" i="3"/>
  <c r="G19" i="3" s="1"/>
  <c r="B12" i="3"/>
  <c r="C12" i="3"/>
  <c r="G12" i="3" s="1"/>
  <c r="B10" i="3"/>
  <c r="C10" i="3"/>
  <c r="G10" i="3" s="1"/>
  <c r="A12" i="1"/>
  <c r="G17" i="3"/>
  <c r="G22" i="3"/>
  <c r="F24" i="3"/>
  <c r="E24" i="3"/>
  <c r="D24" i="3"/>
  <c r="F23" i="3"/>
  <c r="E23" i="3"/>
  <c r="D23" i="3"/>
  <c r="E22" i="3"/>
  <c r="D22" i="3"/>
  <c r="F21" i="3"/>
  <c r="E21" i="3"/>
  <c r="D21" i="3"/>
  <c r="D20" i="3"/>
  <c r="F20" i="3"/>
  <c r="E20" i="3"/>
  <c r="F18" i="3"/>
  <c r="E18" i="3"/>
  <c r="D18" i="3"/>
  <c r="E17" i="3"/>
  <c r="D17" i="3"/>
  <c r="F16" i="3"/>
  <c r="E16" i="3"/>
  <c r="D16" i="3"/>
  <c r="F15" i="3"/>
  <c r="E15" i="3"/>
  <c r="D15" i="3"/>
  <c r="F14" i="3"/>
  <c r="E14" i="3"/>
  <c r="D14" i="3"/>
  <c r="D13" i="3"/>
  <c r="F13" i="3"/>
  <c r="E13" i="3"/>
  <c r="F11" i="3"/>
  <c r="E11" i="3"/>
  <c r="D11" i="3"/>
  <c r="E9" i="3"/>
  <c r="D9" i="3"/>
  <c r="F9" i="3"/>
  <c r="G24" i="3"/>
  <c r="G23" i="3"/>
  <c r="G21" i="3"/>
  <c r="G20" i="3"/>
  <c r="G16" i="3"/>
  <c r="G15" i="3"/>
  <c r="G14" i="3"/>
  <c r="G13" i="3"/>
  <c r="G11" i="3"/>
  <c r="G9" i="3"/>
  <c r="D19" i="3" l="1"/>
  <c r="J9" i="3" s="1"/>
  <c r="E19" i="3"/>
  <c r="F19" i="3"/>
  <c r="D12" i="3"/>
  <c r="E12" i="3"/>
  <c r="F12" i="3"/>
  <c r="D10" i="3"/>
  <c r="E10" i="3"/>
  <c r="F10" i="3"/>
  <c r="A5" i="3"/>
  <c r="C5" i="3"/>
  <c r="E5" i="3"/>
  <c r="J10" i="3" l="1"/>
  <c r="J11" i="3"/>
  <c r="J12" i="3"/>
</calcChain>
</file>

<file path=xl/sharedStrings.xml><?xml version="1.0" encoding="utf-8"?>
<sst xmlns="http://schemas.openxmlformats.org/spreadsheetml/2006/main" count="127" uniqueCount="85">
  <si>
    <t>Tableau de bord — computation des seuils</t>
  </si>
  <si>
    <t>Cumul par famille homogène sur l'année d'analyse (Paramètres). Procédure déduite du barème.</t>
  </si>
  <si>
    <t>Total HT (année)</t>
  </si>
  <si>
    <t>Familles actives</t>
  </si>
  <si>
    <t>Alertes fractionnement</t>
  </si>
  <si>
    <t>Famille</t>
  </si>
  <si>
    <t>Cumul HT</t>
  </si>
  <si>
    <t>Nb achats</t>
  </si>
  <si>
    <t>Procédure applicable</t>
  </si>
  <si>
    <t>MEC</t>
  </si>
  <si>
    <t>Publicité</t>
  </si>
  <si>
    <t>Alerte</t>
  </si>
  <si>
    <t>Procédure</t>
  </si>
  <si>
    <t>Montant HT</t>
  </si>
  <si>
    <t>Fournitures de bureau &amp; papeterie</t>
  </si>
  <si>
    <t>Gré à gré encadré (devis)</t>
  </si>
  <si>
    <t>Matériel informatique &amp; téléphonie</t>
  </si>
  <si>
    <t>MAPA — publicité libre</t>
  </si>
  <si>
    <t>Logiciels &amp; licences</t>
  </si>
  <si>
    <t>MAPA — publicité BOAMP/JAL</t>
  </si>
  <si>
    <t>Mobilier</t>
  </si>
  <si>
    <t>Procédure formalisée (AO)</t>
  </si>
  <si>
    <t>Produits &amp; matériel d'entretien</t>
  </si>
  <si>
    <t>Véhicules &amp; équipements de transport</t>
  </si>
  <si>
    <t>Carburants</t>
  </si>
  <si>
    <t>Vêtements &amp; EPI</t>
  </si>
  <si>
    <t>Denrées &amp; restauration</t>
  </si>
  <si>
    <t>Prestations intellectuelles &amp; études</t>
  </si>
  <si>
    <t>Maintenance &amp; entretien (services)</t>
  </si>
  <si>
    <t>Communication &amp; impression</t>
  </si>
  <si>
    <t>Formation</t>
  </si>
  <si>
    <t>Télécommunications &amp; abonnements</t>
  </si>
  <si>
    <t>Autres fournitures</t>
  </si>
  <si>
    <t>Autres services</t>
  </si>
  <si>
    <t>Paramètres de calcul</t>
  </si>
  <si>
    <t>Familles (FCS)</t>
  </si>
  <si>
    <t>Types d'acheteur</t>
  </si>
  <si>
    <t>Type d'acheteur</t>
  </si>
  <si>
    <t>Collectivité / autre pouvoir adjudicateur</t>
  </si>
  <si>
    <t>Date d'engagement de la consultation</t>
  </si>
  <si>
    <t>État (pouvoir adjudicateur central)</t>
  </si>
  <si>
    <t>Année d'analyse</t>
  </si>
  <si>
    <t>Entité adjudicatrice / défense-sécurité</t>
  </si>
  <si>
    <t>Seuil de dispense (auto)</t>
  </si>
  <si>
    <t>Seuil européen (auto)</t>
  </si>
  <si>
    <t>Seuil mini (≥)</t>
  </si>
  <si>
    <t>Non</t>
  </si>
  <si>
    <t>Oui</t>
  </si>
  <si>
    <t>Support libre</t>
  </si>
  <si>
    <t>BOAMP ou JAL</t>
  </si>
  <si>
    <t>BOAMP + JOUE</t>
  </si>
  <si>
    <t>Astuce : modifiez ici les seuils si la réglementation évolue ; tout le classeur se recalcule.</t>
  </si>
  <si>
    <t>Description</t>
  </si>
  <si>
    <t>Montant_HT</t>
  </si>
  <si>
    <t>Date</t>
  </si>
  <si>
    <t>Sans_MEC</t>
  </si>
  <si>
    <t>Justification</t>
  </si>
  <si>
    <t>Année</t>
  </si>
  <si>
    <t>← Saisissez vos achats ici (1 ligne = 1 achat). Ce tableau « Achats » est directement exploitable dans Power BI / Power Query.</t>
  </si>
  <si>
    <t>Ordinateurs portables</t>
  </si>
  <si>
    <t>Écrans et périphériques</t>
  </si>
  <si>
    <t>Mobilier de bureau (lot 1)</t>
  </si>
  <si>
    <t>Mobilier de bureau (lot 2)</t>
  </si>
  <si>
    <t>Maintenance des ascenseurs</t>
  </si>
  <si>
    <t>Computation des seuils — marchés de fournitures &amp; services (FCS)</t>
  </si>
  <si>
    <t>Méthode</t>
  </si>
  <si>
    <t>On additionne, par famille homogène, les montants HT sur l'année d'analyse (art. R.2121-6 CCP). Le total détermine la procédure. Le seuil de dispense est fixé par la date d'engagement de la consultation (40 000 € HT avant le 01/04/2026, 60 000 € à partir).</t>
  </si>
  <si>
    <t>Point de vigilance : la computation porte juridiquement sur la VALEUR ESTIMÉE du besoin (durée totale du marché, reconductions et options comprises). L'historique des achats saisis n'en est qu'un indice — intégrez votre prévisionnel pour ne pas sous-estimer le seuil.</t>
  </si>
  <si>
    <t>Barème 2026 (FCS, modifiable dans l'onglet Paramètres)</t>
  </si>
  <si>
    <t>&lt; 40 000 € puis &lt; 60 000 € (dès 01/04/2026) : sans publicité ni mise en concurrence.</t>
  </si>
  <si>
    <t>Dispense → 90 000 € : procédure adaptée (MAPA), publicité obligatoire au support libre.</t>
  </si>
  <si>
    <t>90 000 € → seuil UE : MAPA, publicité obligatoire au BOAMP ou JAL.</t>
  </si>
  <si>
    <t>≥ seuil UE (État 140 000 € · collectivités 216 000 € · entités 432 000 €) : procédure formalisée (BOAMP + JOUE).</t>
  </si>
  <si>
    <t>Sources officielles</t>
  </si>
  <si>
    <t>Décret n° 2025-1386 du 29/12/2025 (Légifrance)</t>
  </si>
  <si>
    <t>DAJ Bercy — seuils européens 2026</t>
  </si>
  <si>
    <t>CCP — Computation des seuils (R.2121-1 à R.2121-9)</t>
  </si>
  <si>
    <t>CCP — Marchés sans publicité ni MEC (R.2122-1 à R.2122-11)</t>
  </si>
  <si>
    <t>Mentions légales</t>
  </si>
  <si>
    <t>Éditeur : Sébastien Rivière — outils &amp; guides gratuits. Outil pédagogique fourni « en l'état », sans garantie ; ne constitue pas un conseil juridique. Mise à jour des seuils : 19/06/2026. Vérifiez toujours les textes en vigueur.</t>
  </si>
  <si>
    <t>Astuce TCD : sur l'onglet Saisie, cliquez dans le tableau « Achats » → Insertion → Tableau croisé dynamique → OK. Glissez « Famille » en Lignes, « Montant_HT » en Valeurs (Somme), « Année » en Filtres.</t>
  </si>
  <si>
    <t>Étiquettes de lignes</t>
  </si>
  <si>
    <t>Total général</t>
  </si>
  <si>
    <t>Somme de Montant_HT</t>
  </si>
  <si>
    <t>(Tous)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</si>
</sst>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\ &quot;€&quot;"/>
    <numFmt numFmtId="165" formatCode="#\ ##0"/>
    <numFmt numFmtId="166" formatCode="#\ ##0.00\ &quot;€&quot;"/>
  </numFmts>
  <fonts count="16" x14ac:knownFonts="1">
    <font>
      <sz val="11"/>
      <color theme="1"/>
      <name val="Calibri"/>
      <family val="2"/>
      <scheme val="minor"/>
    </font>
    <font>
      <b/>
      <sz val="15"/>
      <color rgb="FF1E3A52"/>
      <name val="Calibri"/>
    </font>
    <font>
      <b/>
      <sz val="11"/>
      <color rgb="FF5A7A92"/>
      <name val="Calibri"/>
    </font>
    <font>
      <sz val="11"/>
      <color rgb="FF1A2A35"/>
      <name val="Calibri"/>
    </font>
    <font>
      <b/>
      <sz val="11"/>
      <color rgb="FF1A2A35"/>
      <name val="Calibri"/>
    </font>
    <font>
      <b/>
      <sz val="11"/>
      <color rgb="FFFFFFFF"/>
      <name val="Calibri"/>
    </font>
    <font>
      <i/>
      <sz val="10"/>
      <color rgb="FF5A7A92"/>
      <name val="Calibri"/>
    </font>
    <font>
      <b/>
      <sz val="11"/>
      <color rgb="FF1E3A52"/>
      <name val="Calibri"/>
    </font>
    <font>
      <sz val="10"/>
      <color rgb="FF1A2A35"/>
      <name val="Calibri"/>
    </font>
    <font>
      <sz val="10"/>
      <color rgb="FF5A7A92"/>
      <name val="Calibri"/>
    </font>
    <font>
      <b/>
      <sz val="10"/>
      <color rgb="FF5A7A92"/>
      <name val="Calibri"/>
    </font>
    <font>
      <b/>
      <sz val="16"/>
      <color rgb="FF1E3A52"/>
      <name val="Calibri"/>
    </font>
    <font>
      <b/>
      <sz val="12"/>
      <color rgb="FF3A8AC4"/>
      <name val="Calibri"/>
    </font>
    <font>
      <i/>
      <sz val="11"/>
      <color rgb="FFCF4B43"/>
      <name val="Calibri"/>
    </font>
    <font>
      <u/>
      <sz val="11"/>
      <color rgb="FF3A8AC4"/>
      <name val="Calibri"/>
    </font>
    <font>
      <b/>
      <sz val="10"/>
      <color rgb="FF1E3A5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AF2F9"/>
      </patternFill>
    </fill>
    <fill>
      <patternFill patternType="solid">
        <fgColor rgb="FF1E3A52"/>
      </patternFill>
    </fill>
  </fills>
  <borders count="2">
    <border>
      <left/>
      <right/>
      <top/>
      <bottom/>
      <diagonal/>
    </border>
    <border>
      <left style="thin">
        <color rgb="FFDDE9F2"/>
      </left>
      <right style="thin">
        <color rgb="FFDDE9F2"/>
      </right>
      <top style="thin">
        <color rgb="FFDDE9F2"/>
      </top>
      <bottom style="thin">
        <color rgb="FFDDE9F2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14" fontId="3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right"/>
    </xf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164" fontId="11" fillId="0" borderId="1" xfId="0" applyNumberFormat="1" applyFont="1" applyBorder="1" applyAlignment="1">
      <alignment horizontal="left" vertical="center"/>
    </xf>
    <xf numFmtId="1" fontId="11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4" fillId="0" borderId="0" xfId="0" applyFont="1" applyAlignment="1">
      <alignment wrapText="1"/>
    </xf>
    <xf numFmtId="0" fontId="6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</cellXfs>
  <cellStyles count="1">
    <cellStyle name="Normal" xfId="0" builtinId="0"/>
  </cellStyles>
  <dxfs count="4">
    <dxf>
      <font>
        <b/>
        <color rgb="FFCF4B43"/>
      </font>
      <fill>
        <patternFill patternType="solid">
          <fgColor rgb="FFFBE9E8"/>
        </patternFill>
      </fill>
    </dxf>
    <dxf>
      <font>
        <b/>
        <color rgb="FF2E9E6B"/>
      </font>
      <fill>
        <patternFill patternType="solid">
          <fgColor rgb="FFE3F5EC"/>
        </patternFill>
      </fill>
    </dxf>
    <dxf>
      <font>
        <b/>
        <color rgb="FFC77D20"/>
      </font>
      <fill>
        <patternFill patternType="solid">
          <fgColor rgb="FFFDF3E0"/>
        </patternFill>
      </fill>
    </dxf>
    <dxf>
      <font>
        <b/>
        <color rgb="FFCF4B43"/>
      </font>
      <fill>
        <patternFill patternType="solid">
          <fgColor rgb="FFFBE9E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RE"/>
              <a:t>Cumul HT par famille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'Tableau de bord'!$B$8</c:f>
              <c:strCache>
                <c:ptCount val="1"/>
                <c:pt idx="0">
                  <c:v>Cumul HT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'Tableau de bord'!$A$9:$A$24</c:f>
              <c:strCache>
                <c:ptCount val="16"/>
                <c:pt idx="0">
                  <c:v>Fournitures de bureau &amp; papeterie</c:v>
                </c:pt>
                <c:pt idx="1">
                  <c:v>Matériel informatique &amp; téléphonie</c:v>
                </c:pt>
                <c:pt idx="2">
                  <c:v>Logiciels &amp; licences</c:v>
                </c:pt>
                <c:pt idx="3">
                  <c:v>Mobilier</c:v>
                </c:pt>
                <c:pt idx="4">
                  <c:v>Produits &amp; matériel d'entretien</c:v>
                </c:pt>
                <c:pt idx="5">
                  <c:v>Véhicules &amp; équipements de transport</c:v>
                </c:pt>
                <c:pt idx="6">
                  <c:v>Carburants</c:v>
                </c:pt>
                <c:pt idx="7">
                  <c:v>Vêtements &amp; EPI</c:v>
                </c:pt>
                <c:pt idx="8">
                  <c:v>Denrées &amp; restauration</c:v>
                </c:pt>
                <c:pt idx="9">
                  <c:v>Prestations intellectuelles &amp; études</c:v>
                </c:pt>
                <c:pt idx="10">
                  <c:v>Maintenance &amp; entretien (services)</c:v>
                </c:pt>
                <c:pt idx="11">
                  <c:v>Communication &amp; impression</c:v>
                </c:pt>
                <c:pt idx="12">
                  <c:v>Formation</c:v>
                </c:pt>
                <c:pt idx="13">
                  <c:v>Télécommunications &amp; abonnements</c:v>
                </c:pt>
                <c:pt idx="14">
                  <c:v>Autres fournitures</c:v>
                </c:pt>
                <c:pt idx="15">
                  <c:v>Autres services</c:v>
                </c:pt>
              </c:strCache>
            </c:strRef>
          </c:cat>
          <c:val>
            <c:numRef>
              <c:f>'Tableau de bord'!$B$9:$B$24</c:f>
              <c:numCache>
                <c:formatCode>#\ ##0\ "€"</c:formatCode>
                <c:ptCount val="16"/>
                <c:pt idx="0">
                  <c:v>0</c:v>
                </c:pt>
                <c:pt idx="1">
                  <c:v>37000</c:v>
                </c:pt>
                <c:pt idx="2">
                  <c:v>0</c:v>
                </c:pt>
                <c:pt idx="3">
                  <c:v>95000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230000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C7-4DCE-A8AC-E212DD0BE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#\ ##0\ &quot;€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RE"/>
              <a:t>Répartition par procédure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'Tableau de bord'!$J$8</c:f>
              <c:strCache>
                <c:ptCount val="1"/>
                <c:pt idx="0">
                  <c:v>Montant HT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'Tableau de bord'!$I$9:$I$12</c:f>
              <c:strCache>
                <c:ptCount val="4"/>
                <c:pt idx="0">
                  <c:v>Gré à gré encadré (devis)</c:v>
                </c:pt>
                <c:pt idx="1">
                  <c:v>MAPA — publicité libre</c:v>
                </c:pt>
                <c:pt idx="2">
                  <c:v>MAPA — publicité BOAMP/JAL</c:v>
                </c:pt>
                <c:pt idx="3">
                  <c:v>Procédure formalisée (AO)</c:v>
                </c:pt>
              </c:strCache>
            </c:strRef>
          </c:cat>
          <c:val>
            <c:numRef>
              <c:f>'Tableau de bord'!$J$9:$J$12</c:f>
              <c:numCache>
                <c:formatCode>#\ ##0\ "€"</c:formatCode>
                <c:ptCount val="4"/>
                <c:pt idx="0">
                  <c:v>37000</c:v>
                </c:pt>
                <c:pt idx="1">
                  <c:v>0</c:v>
                </c:pt>
                <c:pt idx="2">
                  <c:v>95000</c:v>
                </c:pt>
                <c:pt idx="3">
                  <c:v>230000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1A-4569-BCBF-B83B13FEE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26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26</xdr:row>
      <xdr:rowOff>0</xdr:rowOff>
    </xdr:from>
    <xdr:ext cx="432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ébastien" refreshedDate="46192.709894328706" createdVersion="8" refreshedVersion="8" minRefreshableVersion="3" recordCount="5" xr:uid="{4E1370E1-E4FF-487B-9360-10BFC267D0FF}">
  <cacheSource type="worksheet">
    <worksheetSource name="Achats"/>
  </cacheSource>
  <cacheFields count="7">
    <cacheField name="Description" numFmtId="0">
      <sharedItems/>
    </cacheField>
    <cacheField name="Montant_HT" numFmtId="166">
      <sharedItems containsSemiMixedTypes="0" containsString="0" containsNumber="1" containsInteger="1" minValue="9000" maxValue="230000"/>
    </cacheField>
    <cacheField name="Date" numFmtId="14">
      <sharedItems containsSemiMixedTypes="0" containsNonDate="0" containsDate="1" containsString="0" minDate="2026-01-10T00:00:00" maxDate="2026-09-02T00:00:00"/>
    </cacheField>
    <cacheField name="Famille" numFmtId="0">
      <sharedItems count="3">
        <s v="Matériel informatique &amp; téléphonie"/>
        <s v="Mobilier"/>
        <s v="Maintenance &amp; entretien (services)"/>
      </sharedItems>
    </cacheField>
    <cacheField name="Sans_MEC" numFmtId="0">
      <sharedItems/>
    </cacheField>
    <cacheField name="Justification" numFmtId="0">
      <sharedItems containsNonDate="0" containsString="0" containsBlank="1"/>
    </cacheField>
    <cacheField name="Année" numFmtId="0">
      <sharedItems containsSemiMixedTypes="0" containsString="0" containsNumber="1" containsInteger="1" minValue="2026" maxValue="2026" count="1">
        <n v="202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Ordinateurs portables"/>
    <n v="28000"/>
    <d v="2026-02-15T00:00:00"/>
    <x v="0"/>
    <s v="Non"/>
    <m/>
    <x v="0"/>
  </r>
  <r>
    <s v="Écrans et périphériques"/>
    <n v="9000"/>
    <d v="2026-06-20T00:00:00"/>
    <x v="0"/>
    <s v="Non"/>
    <m/>
    <x v="0"/>
  </r>
  <r>
    <s v="Mobilier de bureau (lot 1)"/>
    <n v="48000"/>
    <d v="2026-03-01T00:00:00"/>
    <x v="1"/>
    <s v="Non"/>
    <m/>
    <x v="0"/>
  </r>
  <r>
    <s v="Mobilier de bureau (lot 2)"/>
    <n v="47000"/>
    <d v="2026-09-01T00:00:00"/>
    <x v="1"/>
    <s v="Non"/>
    <m/>
    <x v="0"/>
  </r>
  <r>
    <s v="Maintenance des ascenseurs"/>
    <n v="230000"/>
    <d v="2026-01-10T00:00:00"/>
    <x v="2"/>
    <s v="Non"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A5F1E7-EB0B-4C20-B869-CBCCCDB17183}" name="Tableau croisé dynamique1" cacheId="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7">
    <pivotField showAll="0"/>
    <pivotField dataField="1" numFmtId="166" showAll="0"/>
    <pivotField numFmtId="14"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axis="axisPage" showAll="0">
      <items count="2">
        <item x="0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me de Montant_HT" fld="1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chats" displayName="Achats" ref="A1:G6">
  <autoFilter ref="A1:G6" xr:uid="{00000000-0009-0000-0100-000001000000}"/>
  <tableColumns count="7">
    <tableColumn id="1" xr3:uid="{00000000-0010-0000-0000-000001000000}" name="Description"/>
    <tableColumn id="2" xr3:uid="{00000000-0010-0000-0000-000002000000}" name="Montant_HT"/>
    <tableColumn id="3" xr3:uid="{00000000-0010-0000-0000-000003000000}" name="Date"/>
    <tableColumn id="4" xr3:uid="{00000000-0010-0000-0000-000004000000}" name="Famille"/>
    <tableColumn id="5" xr3:uid="{00000000-0010-0000-0000-000005000000}" name="Sans_MEC"/>
    <tableColumn id="6" xr3:uid="{00000000-0010-0000-0000-000006000000}" name="Justification"/>
    <tableColumn id="7" xr3:uid="{00000000-0010-0000-0000-000007000000}" name="Anné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egifrance.gouv.fr/codes/section_lc/LEGITEXT000037701019/LEGISCTA000037723788/" TargetMode="External"/><Relationship Id="rId2" Type="http://schemas.openxmlformats.org/officeDocument/2006/relationships/hyperlink" Target="https://www.economie.gouv.fr/daj/commande-publique-nouveaux-seuils-europeens-applicables-au-1er-janvier-2026" TargetMode="External"/><Relationship Id="rId1" Type="http://schemas.openxmlformats.org/officeDocument/2006/relationships/hyperlink" Target="https://www.legifrance.gouv.fr/jorf/id/JORFTEXT000053202067" TargetMode="External"/><Relationship Id="rId4" Type="http://schemas.openxmlformats.org/officeDocument/2006/relationships/hyperlink" Target="https://www.legifrance.gouv.fr/codes/section_lc/LEGITEXT000037701019/LEGISCTA00003772381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showGridLines="0" workbookViewId="0"/>
  </sheetViews>
  <sheetFormatPr baseColWidth="10" defaultColWidth="9.140625" defaultRowHeight="15" x14ac:dyDescent="0.25"/>
  <cols>
    <col min="1" max="1" width="26" customWidth="1"/>
    <col min="2" max="4" width="22" customWidth="1"/>
    <col min="6" max="6" width="34" customWidth="1"/>
    <col min="8" max="8" width="42" customWidth="1"/>
  </cols>
  <sheetData>
    <row r="1" spans="1:8" ht="19.5" x14ac:dyDescent="0.25">
      <c r="A1" s="1" t="s">
        <v>34</v>
      </c>
    </row>
    <row r="2" spans="1:8" x14ac:dyDescent="0.25">
      <c r="F2" s="2" t="s">
        <v>35</v>
      </c>
      <c r="H2" s="2" t="s">
        <v>36</v>
      </c>
    </row>
    <row r="3" spans="1:8" x14ac:dyDescent="0.25">
      <c r="A3" s="3" t="s">
        <v>37</v>
      </c>
      <c r="B3" s="4" t="s">
        <v>38</v>
      </c>
      <c r="F3" s="5" t="s">
        <v>14</v>
      </c>
      <c r="H3" s="5" t="s">
        <v>38</v>
      </c>
    </row>
    <row r="4" spans="1:8" x14ac:dyDescent="0.25">
      <c r="A4" s="3" t="s">
        <v>39</v>
      </c>
      <c r="B4" s="6">
        <f>DATE(2026,5,1)</f>
        <v>46143</v>
      </c>
      <c r="F4" s="5" t="s">
        <v>16</v>
      </c>
      <c r="H4" s="5" t="s">
        <v>40</v>
      </c>
    </row>
    <row r="5" spans="1:8" x14ac:dyDescent="0.25">
      <c r="A5" s="3" t="s">
        <v>41</v>
      </c>
      <c r="B5" s="7">
        <v>2026</v>
      </c>
      <c r="F5" s="5" t="s">
        <v>18</v>
      </c>
      <c r="H5" s="5" t="s">
        <v>42</v>
      </c>
    </row>
    <row r="6" spans="1:8" x14ac:dyDescent="0.25">
      <c r="A6" s="3" t="s">
        <v>43</v>
      </c>
      <c r="B6" s="8">
        <f>IF(B4&gt;=DATE(2026,4,1),60000,40000)</f>
        <v>60000</v>
      </c>
      <c r="F6" s="5" t="s">
        <v>20</v>
      </c>
    </row>
    <row r="7" spans="1:8" x14ac:dyDescent="0.25">
      <c r="A7" s="3" t="s">
        <v>44</v>
      </c>
      <c r="B7" s="8">
        <f>IF(B3="État (pouvoir adjudicateur central)",140000,IF(B3="Entité adjudicatrice / défense-sécurité",432000,216000))</f>
        <v>216000</v>
      </c>
      <c r="F7" s="5" t="s">
        <v>22</v>
      </c>
    </row>
    <row r="8" spans="1:8" x14ac:dyDescent="0.25">
      <c r="F8" s="5" t="s">
        <v>23</v>
      </c>
    </row>
    <row r="9" spans="1:8" x14ac:dyDescent="0.25">
      <c r="F9" s="5" t="s">
        <v>24</v>
      </c>
    </row>
    <row r="10" spans="1:8" x14ac:dyDescent="0.25">
      <c r="A10" s="9" t="s">
        <v>45</v>
      </c>
      <c r="B10" s="9" t="s">
        <v>12</v>
      </c>
      <c r="C10" s="9" t="s">
        <v>9</v>
      </c>
      <c r="D10" s="9" t="s">
        <v>10</v>
      </c>
      <c r="F10" s="5" t="s">
        <v>25</v>
      </c>
    </row>
    <row r="11" spans="1:8" x14ac:dyDescent="0.25">
      <c r="A11" s="10">
        <v>0</v>
      </c>
      <c r="B11" s="11" t="s">
        <v>15</v>
      </c>
      <c r="C11" s="12" t="s">
        <v>46</v>
      </c>
      <c r="D11" s="11" t="s">
        <v>46</v>
      </c>
      <c r="F11" s="5" t="s">
        <v>26</v>
      </c>
    </row>
    <row r="12" spans="1:8" x14ac:dyDescent="0.25">
      <c r="A12" s="10">
        <f>B6</f>
        <v>60000</v>
      </c>
      <c r="B12" s="11" t="s">
        <v>17</v>
      </c>
      <c r="C12" s="12" t="s">
        <v>47</v>
      </c>
      <c r="D12" s="11" t="s">
        <v>48</v>
      </c>
      <c r="F12" s="5" t="s">
        <v>27</v>
      </c>
    </row>
    <row r="13" spans="1:8" x14ac:dyDescent="0.25">
      <c r="A13" s="10">
        <v>90000</v>
      </c>
      <c r="B13" s="11" t="s">
        <v>19</v>
      </c>
      <c r="C13" s="12" t="s">
        <v>47</v>
      </c>
      <c r="D13" s="11" t="s">
        <v>49</v>
      </c>
      <c r="F13" s="5" t="s">
        <v>28</v>
      </c>
    </row>
    <row r="14" spans="1:8" x14ac:dyDescent="0.25">
      <c r="A14" s="10">
        <f>B7</f>
        <v>216000</v>
      </c>
      <c r="B14" s="11" t="s">
        <v>21</v>
      </c>
      <c r="C14" s="12" t="s">
        <v>47</v>
      </c>
      <c r="D14" s="11" t="s">
        <v>50</v>
      </c>
      <c r="F14" s="5" t="s">
        <v>29</v>
      </c>
    </row>
    <row r="15" spans="1:8" x14ac:dyDescent="0.25">
      <c r="F15" s="5" t="s">
        <v>30</v>
      </c>
    </row>
    <row r="16" spans="1:8" x14ac:dyDescent="0.25">
      <c r="A16" s="13" t="s">
        <v>51</v>
      </c>
      <c r="F16" s="5" t="s">
        <v>31</v>
      </c>
    </row>
    <row r="17" spans="6:6" x14ac:dyDescent="0.25">
      <c r="F17" s="5" t="s">
        <v>32</v>
      </c>
    </row>
    <row r="18" spans="6:6" x14ac:dyDescent="0.25">
      <c r="F18" s="5" t="s">
        <v>33</v>
      </c>
    </row>
  </sheetData>
  <dataValidations count="1">
    <dataValidation type="list" sqref="B3" xr:uid="{00000000-0002-0000-0000-000000000000}">
      <formula1>TypesAcheteur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C742E-2F88-4941-A926-75D4190F1DC9}">
  <dimension ref="A1:B7"/>
  <sheetViews>
    <sheetView workbookViewId="0">
      <selection activeCell="D6" sqref="D6"/>
    </sheetView>
  </sheetViews>
  <sheetFormatPr baseColWidth="10" defaultRowHeight="15" x14ac:dyDescent="0.25"/>
  <cols>
    <col min="1" max="1" width="33.42578125" bestFit="1" customWidth="1"/>
    <col min="2" max="2" width="22.140625" bestFit="1" customWidth="1"/>
  </cols>
  <sheetData>
    <row r="1" spans="1:2" x14ac:dyDescent="0.25">
      <c r="A1" s="30" t="s">
        <v>57</v>
      </c>
      <c r="B1" t="s">
        <v>84</v>
      </c>
    </row>
    <row r="3" spans="1:2" x14ac:dyDescent="0.25">
      <c r="A3" s="30" t="s">
        <v>81</v>
      </c>
      <c r="B3" t="s">
        <v>83</v>
      </c>
    </row>
    <row r="4" spans="1:2" x14ac:dyDescent="0.25">
      <c r="A4" s="31" t="s">
        <v>28</v>
      </c>
      <c r="B4" s="32">
        <v>230000</v>
      </c>
    </row>
    <row r="5" spans="1:2" x14ac:dyDescent="0.25">
      <c r="A5" s="31" t="s">
        <v>16</v>
      </c>
      <c r="B5" s="32">
        <v>37000</v>
      </c>
    </row>
    <row r="6" spans="1:2" x14ac:dyDescent="0.25">
      <c r="A6" s="31" t="s">
        <v>20</v>
      </c>
      <c r="B6" s="32">
        <v>95000</v>
      </c>
    </row>
    <row r="7" spans="1:2" x14ac:dyDescent="0.25">
      <c r="A7" s="31" t="s">
        <v>82</v>
      </c>
      <c r="B7" s="32">
        <v>362000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showGridLines="0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4" customWidth="1"/>
    <col min="2" max="2" width="14" customWidth="1"/>
    <col min="3" max="3" width="13" customWidth="1"/>
    <col min="4" max="4" width="34" customWidth="1"/>
    <col min="5" max="5" width="11" customWidth="1"/>
    <col min="6" max="6" width="40" customWidth="1"/>
    <col min="7" max="7" width="8" customWidth="1"/>
  </cols>
  <sheetData>
    <row r="1" spans="1:9" x14ac:dyDescent="0.25">
      <c r="A1" s="9" t="s">
        <v>52</v>
      </c>
      <c r="B1" s="9" t="s">
        <v>53</v>
      </c>
      <c r="C1" s="9" t="s">
        <v>54</v>
      </c>
      <c r="D1" s="9" t="s">
        <v>5</v>
      </c>
      <c r="E1" s="9" t="s">
        <v>55</v>
      </c>
      <c r="F1" s="9" t="s">
        <v>56</v>
      </c>
      <c r="G1" s="9" t="s">
        <v>57</v>
      </c>
      <c r="I1" s="13" t="s">
        <v>58</v>
      </c>
    </row>
    <row r="2" spans="1:9" x14ac:dyDescent="0.25">
      <c r="A2" s="11" t="s">
        <v>59</v>
      </c>
      <c r="B2" s="14">
        <v>28000</v>
      </c>
      <c r="C2" s="15">
        <f>DATE(2026,2,15)</f>
        <v>46068</v>
      </c>
      <c r="D2" s="11" t="s">
        <v>16</v>
      </c>
      <c r="E2" s="16" t="s">
        <v>46</v>
      </c>
      <c r="F2" s="11"/>
      <c r="G2" s="16">
        <f>IF(C2="","",YEAR(C2))</f>
        <v>2026</v>
      </c>
    </row>
    <row r="3" spans="1:9" x14ac:dyDescent="0.25">
      <c r="A3" s="11" t="s">
        <v>60</v>
      </c>
      <c r="B3" s="14">
        <v>9000</v>
      </c>
      <c r="C3" s="15">
        <f>DATE(2026,6,20)</f>
        <v>46193</v>
      </c>
      <c r="D3" s="11" t="s">
        <v>16</v>
      </c>
      <c r="E3" s="16" t="s">
        <v>46</v>
      </c>
      <c r="F3" s="11"/>
      <c r="G3" s="16">
        <f>IF(C3="","",YEAR(C3))</f>
        <v>2026</v>
      </c>
    </row>
    <row r="4" spans="1:9" x14ac:dyDescent="0.25">
      <c r="A4" s="11" t="s">
        <v>61</v>
      </c>
      <c r="B4" s="14">
        <v>48000</v>
      </c>
      <c r="C4" s="15">
        <f>DATE(2026,3,1)</f>
        <v>46082</v>
      </c>
      <c r="D4" s="11" t="s">
        <v>20</v>
      </c>
      <c r="E4" s="16" t="s">
        <v>46</v>
      </c>
      <c r="F4" s="11"/>
      <c r="G4" s="16">
        <f>IF(C4="","",YEAR(C4))</f>
        <v>2026</v>
      </c>
    </row>
    <row r="5" spans="1:9" x14ac:dyDescent="0.25">
      <c r="A5" s="11" t="s">
        <v>62</v>
      </c>
      <c r="B5" s="14">
        <v>47000</v>
      </c>
      <c r="C5" s="15">
        <f>DATE(2026,9,1)</f>
        <v>46266</v>
      </c>
      <c r="D5" s="11" t="s">
        <v>20</v>
      </c>
      <c r="E5" s="16" t="s">
        <v>46</v>
      </c>
      <c r="F5" s="11"/>
      <c r="G5" s="16">
        <f>IF(C5="","",YEAR(C5))</f>
        <v>2026</v>
      </c>
    </row>
    <row r="6" spans="1:9" x14ac:dyDescent="0.25">
      <c r="A6" s="11" t="s">
        <v>63</v>
      </c>
      <c r="B6" s="14">
        <v>230000</v>
      </c>
      <c r="C6" s="15">
        <f>DATE(2026,1,10)</f>
        <v>46032</v>
      </c>
      <c r="D6" s="11" t="s">
        <v>28</v>
      </c>
      <c r="E6" s="16" t="s">
        <v>46</v>
      </c>
      <c r="F6" s="11"/>
      <c r="G6" s="16">
        <f>IF(C6="","",YEAR(C6))</f>
        <v>2026</v>
      </c>
    </row>
  </sheetData>
  <dataValidations count="2">
    <dataValidation type="list" sqref="D2:D200" xr:uid="{00000000-0002-0000-0100-000000000000}">
      <formula1>Familles</formula1>
    </dataValidation>
    <dataValidation type="list" allowBlank="1" sqref="E2:E200" xr:uid="{00000000-0002-0000-0100-000001000000}">
      <formula1>"Non,Oui"</formula1>
    </dataValidation>
  </dataValidation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4"/>
  <sheetViews>
    <sheetView showGridLines="0" tabSelected="1" workbookViewId="0">
      <selection activeCell="D4" sqref="D4"/>
    </sheetView>
  </sheetViews>
  <sheetFormatPr baseColWidth="10" defaultColWidth="9.140625" defaultRowHeight="15" x14ac:dyDescent="0.25"/>
  <cols>
    <col min="1" max="1" width="34" customWidth="1"/>
    <col min="2" max="2" width="15" customWidth="1"/>
    <col min="3" max="3" width="10" customWidth="1"/>
    <col min="4" max="4" width="30" customWidth="1"/>
    <col min="5" max="5" width="8" customWidth="1"/>
    <col min="6" max="6" width="18" customWidth="1"/>
    <col min="7" max="7" width="20" customWidth="1"/>
    <col min="9" max="9" width="30" customWidth="1"/>
    <col min="10" max="10" width="15" customWidth="1"/>
  </cols>
  <sheetData>
    <row r="1" spans="1:10" ht="19.5" x14ac:dyDescent="0.25">
      <c r="A1" s="1" t="s">
        <v>0</v>
      </c>
    </row>
    <row r="2" spans="1:10" x14ac:dyDescent="0.25">
      <c r="A2" s="17" t="s">
        <v>1</v>
      </c>
    </row>
    <row r="4" spans="1:10" x14ac:dyDescent="0.25">
      <c r="A4" s="18" t="s">
        <v>2</v>
      </c>
      <c r="C4" s="18" t="s">
        <v>3</v>
      </c>
      <c r="E4" s="18" t="s">
        <v>4</v>
      </c>
    </row>
    <row r="5" spans="1:10" ht="21" x14ac:dyDescent="0.25">
      <c r="A5" s="19">
        <f>SUM(B9:B24)</f>
        <v>362000</v>
      </c>
      <c r="C5" s="20">
        <f>COUNTIF(B9:B24,"&gt;0")</f>
        <v>3</v>
      </c>
      <c r="E5" s="20">
        <f>SUMPRODUCT(--(G9:G24&lt;&gt;""))</f>
        <v>1</v>
      </c>
    </row>
    <row r="8" spans="1:10" x14ac:dyDescent="0.25">
      <c r="A8" s="9" t="s">
        <v>5</v>
      </c>
      <c r="B8" s="9" t="s">
        <v>6</v>
      </c>
      <c r="C8" s="9" t="s">
        <v>7</v>
      </c>
      <c r="D8" s="9" t="s">
        <v>8</v>
      </c>
      <c r="E8" s="9" t="s">
        <v>9</v>
      </c>
      <c r="F8" s="9" t="s">
        <v>10</v>
      </c>
      <c r="G8" s="9" t="s">
        <v>11</v>
      </c>
      <c r="I8" s="9" t="s">
        <v>12</v>
      </c>
      <c r="J8" s="9" t="s">
        <v>13</v>
      </c>
    </row>
    <row r="9" spans="1:10" x14ac:dyDescent="0.25">
      <c r="A9" s="11" t="s">
        <v>14</v>
      </c>
      <c r="B9" s="21">
        <f>SUMIFS(Saisie!$B:$B,Saisie!$D:$D,$A9,Saisie!$G:$G,Paramètres!$B$5)</f>
        <v>0</v>
      </c>
      <c r="C9" s="16">
        <f>COUNTIFS(Saisie!$D:$D,$A9,Saisie!$G:$G,Paramètres!$B$5)</f>
        <v>0</v>
      </c>
      <c r="D9" s="11" t="str">
        <f>IF($B9=0,"—",LOOKUP($B9,Paramètres!$A$11:$A$14,Paramètres!$B$11:$B$14))</f>
        <v>—</v>
      </c>
      <c r="E9" s="16" t="str">
        <f>IF($B9=0,"",LOOKUP($B9,Paramètres!$A$11:$A$14,Paramètres!$C$11:$C$14))</f>
        <v/>
      </c>
      <c r="F9" s="11" t="str">
        <f>IF($B9=0,"",LOOKUP($B9,Paramètres!$A$11:$A$14,Paramètres!$D$11:$D$14))</f>
        <v/>
      </c>
      <c r="G9" s="11" t="str">
        <f>IF(AND($C9&gt;=2,$B9&gt;=Paramètres!$B$6),"Fractionnement ?","")</f>
        <v/>
      </c>
      <c r="I9" s="5" t="s">
        <v>15</v>
      </c>
      <c r="J9" s="22">
        <f>SUMIF($D$9:$D$24,I9,$B$9:$B$24)</f>
        <v>37000</v>
      </c>
    </row>
    <row r="10" spans="1:10" x14ac:dyDescent="0.25">
      <c r="A10" s="11" t="s">
        <v>16</v>
      </c>
      <c r="B10" s="21">
        <f>SUMIFS(Saisie!$B:$B,Saisie!$D:$D,$A10,Saisie!$G:$G,Paramètres!$B$5)</f>
        <v>37000</v>
      </c>
      <c r="C10" s="16">
        <f>COUNTIFS(Saisie!$D:$D,$A10,Saisie!$G:$G,Paramètres!$B$5)</f>
        <v>2</v>
      </c>
      <c r="D10" s="11" t="str">
        <f>IF($B10=0,"—",LOOKUP($B10,Paramètres!$A$11:$A$14,Paramètres!$B$11:$B$14))</f>
        <v>Gré à gré encadré (devis)</v>
      </c>
      <c r="E10" s="16" t="str">
        <f>IF($B10=0,"",LOOKUP($B10,Paramètres!$A$11:$A$14,Paramètres!$C$11:$C$14))</f>
        <v>Non</v>
      </c>
      <c r="F10" s="11" t="str">
        <f>IF($B10=0,"",LOOKUP($B10,Paramètres!$A$11:$A$14,Paramètres!$D$11:$D$14))</f>
        <v>Non</v>
      </c>
      <c r="G10" s="11" t="str">
        <f>IF(AND($C10&gt;=2,$B10&gt;=Paramètres!$B$6),"Fractionnement ?","")</f>
        <v/>
      </c>
      <c r="I10" s="5" t="s">
        <v>17</v>
      </c>
      <c r="J10" s="22">
        <f>SUMIF($D$9:$D$24,I10,$B$9:$B$24)</f>
        <v>0</v>
      </c>
    </row>
    <row r="11" spans="1:10" x14ac:dyDescent="0.25">
      <c r="A11" s="11" t="s">
        <v>18</v>
      </c>
      <c r="B11" s="21">
        <f>SUMIFS(Saisie!$B:$B,Saisie!$D:$D,$A11,Saisie!$G:$G,Paramètres!$B$5)</f>
        <v>0</v>
      </c>
      <c r="C11" s="16">
        <f>COUNTIFS(Saisie!$D:$D,$A11,Saisie!$G:$G,Paramètres!$B$5)</f>
        <v>0</v>
      </c>
      <c r="D11" s="11" t="str">
        <f>IF($B11=0,"—",LOOKUP($B11,Paramètres!$A$11:$A$14,Paramètres!$B$11:$B$14))</f>
        <v>—</v>
      </c>
      <c r="E11" s="16" t="str">
        <f>IF($B11=0,"",LOOKUP($B11,Paramètres!$A$11:$A$14,Paramètres!$C$11:$C$14))</f>
        <v/>
      </c>
      <c r="F11" s="11" t="str">
        <f>IF($B11=0,"",LOOKUP($B11,Paramètres!$A$11:$A$14,Paramètres!$D$11:$D$14))</f>
        <v/>
      </c>
      <c r="G11" s="11" t="str">
        <f>IF(AND($C11&gt;=2,$B11&gt;=Paramètres!$B$6),"Fractionnement ?","")</f>
        <v/>
      </c>
      <c r="I11" s="5" t="s">
        <v>19</v>
      </c>
      <c r="J11" s="22">
        <f>SUMIF($D$9:$D$24,I11,$B$9:$B$24)</f>
        <v>95000</v>
      </c>
    </row>
    <row r="12" spans="1:10" x14ac:dyDescent="0.25">
      <c r="A12" s="11" t="s">
        <v>20</v>
      </c>
      <c r="B12" s="21">
        <f>SUMIFS(Saisie!$B:$B,Saisie!$D:$D,$A12,Saisie!$G:$G,Paramètres!$B$5)</f>
        <v>95000</v>
      </c>
      <c r="C12" s="16">
        <f>COUNTIFS(Saisie!$D:$D,$A12,Saisie!$G:$G,Paramètres!$B$5)</f>
        <v>2</v>
      </c>
      <c r="D12" s="11" t="str">
        <f>IF($B12=0,"—",LOOKUP($B12,Paramètres!$A$11:$A$14,Paramètres!$B$11:$B$14))</f>
        <v>MAPA — publicité BOAMP/JAL</v>
      </c>
      <c r="E12" s="16" t="str">
        <f>IF($B12=0,"",LOOKUP($B12,Paramètres!$A$11:$A$14,Paramètres!$C$11:$C$14))</f>
        <v>Oui</v>
      </c>
      <c r="F12" s="11" t="str">
        <f>IF($B12=0,"",LOOKUP($B12,Paramètres!$A$11:$A$14,Paramètres!$D$11:$D$14))</f>
        <v>BOAMP ou JAL</v>
      </c>
      <c r="G12" s="11" t="str">
        <f>IF(AND($C12&gt;=2,$B12&gt;=Paramètres!$B$6),"Fractionnement ?","")</f>
        <v>Fractionnement ?</v>
      </c>
      <c r="I12" s="5" t="s">
        <v>21</v>
      </c>
      <c r="J12" s="22">
        <f>SUMIF($D$9:$D$24,I12,$B$9:$B$24)</f>
        <v>230000</v>
      </c>
    </row>
    <row r="13" spans="1:10" x14ac:dyDescent="0.25">
      <c r="A13" s="11" t="s">
        <v>22</v>
      </c>
      <c r="B13" s="21">
        <f>SUMIFS(Saisie!$B:$B,Saisie!$D:$D,$A13,Saisie!$G:$G,Paramètres!$B$5)</f>
        <v>0</v>
      </c>
      <c r="C13" s="16">
        <f>COUNTIFS(Saisie!$D:$D,$A13,Saisie!$G:$G,Paramètres!$B$5)</f>
        <v>0</v>
      </c>
      <c r="D13" s="11" t="str">
        <f>IF($B13=0,"—",LOOKUP($B13,Paramètres!$A$11:$A$14,Paramètres!$B$11:$B$14))</f>
        <v>—</v>
      </c>
      <c r="E13" s="16" t="str">
        <f>IF($B13=0,"",LOOKUP($B13,Paramètres!$A$11:$A$14,Paramètres!$C$11:$C$14))</f>
        <v/>
      </c>
      <c r="F13" s="11" t="str">
        <f>IF($B13=0,"",LOOKUP($B13,Paramètres!$A$11:$A$14,Paramètres!$D$11:$D$14))</f>
        <v/>
      </c>
      <c r="G13" s="11" t="str">
        <f>IF(AND($C13&gt;=2,$B13&gt;=Paramètres!$B$6),"Fractionnement ?","")</f>
        <v/>
      </c>
    </row>
    <row r="14" spans="1:10" x14ac:dyDescent="0.25">
      <c r="A14" s="11" t="s">
        <v>23</v>
      </c>
      <c r="B14" s="21">
        <f>SUMIFS(Saisie!$B:$B,Saisie!$D:$D,$A14,Saisie!$G:$G,Paramètres!$B$5)</f>
        <v>0</v>
      </c>
      <c r="C14" s="16">
        <f>COUNTIFS(Saisie!$D:$D,$A14,Saisie!$G:$G,Paramètres!$B$5)</f>
        <v>0</v>
      </c>
      <c r="D14" s="11" t="str">
        <f>IF($B14=0,"—",LOOKUP($B14,Paramètres!$A$11:$A$14,Paramètres!$B$11:$B$14))</f>
        <v>—</v>
      </c>
      <c r="E14" s="16" t="str">
        <f>IF($B14=0,"",LOOKUP($B14,Paramètres!$A$11:$A$14,Paramètres!$C$11:$C$14))</f>
        <v/>
      </c>
      <c r="F14" s="11" t="str">
        <f>IF($B14=0,"",LOOKUP($B14,Paramètres!$A$11:$A$14,Paramètres!$D$11:$D$14))</f>
        <v/>
      </c>
      <c r="G14" s="11" t="str">
        <f>IF(AND($C14&gt;=2,$B14&gt;=Paramètres!$B$6),"Fractionnement ?","")</f>
        <v/>
      </c>
    </row>
    <row r="15" spans="1:10" x14ac:dyDescent="0.25">
      <c r="A15" s="11" t="s">
        <v>24</v>
      </c>
      <c r="B15" s="21">
        <f>SUMIFS(Saisie!$B:$B,Saisie!$D:$D,$A15,Saisie!$G:$G,Paramètres!$B$5)</f>
        <v>0</v>
      </c>
      <c r="C15" s="16">
        <f>COUNTIFS(Saisie!$D:$D,$A15,Saisie!$G:$G,Paramètres!$B$5)</f>
        <v>0</v>
      </c>
      <c r="D15" s="11" t="str">
        <f>IF($B15=0,"—",LOOKUP($B15,Paramètres!$A$11:$A$14,Paramètres!$B$11:$B$14))</f>
        <v>—</v>
      </c>
      <c r="E15" s="16" t="str">
        <f>IF($B15=0,"",LOOKUP($B15,Paramètres!$A$11:$A$14,Paramètres!$C$11:$C$14))</f>
        <v/>
      </c>
      <c r="F15" s="11" t="str">
        <f>IF($B15=0,"",LOOKUP($B15,Paramètres!$A$11:$A$14,Paramètres!$D$11:$D$14))</f>
        <v/>
      </c>
      <c r="G15" s="11" t="str">
        <f>IF(AND($C15&gt;=2,$B15&gt;=Paramètres!$B$6),"Fractionnement ?","")</f>
        <v/>
      </c>
    </row>
    <row r="16" spans="1:10" x14ac:dyDescent="0.25">
      <c r="A16" s="11" t="s">
        <v>25</v>
      </c>
      <c r="B16" s="21">
        <f>SUMIFS(Saisie!$B:$B,Saisie!$D:$D,$A16,Saisie!$G:$G,Paramètres!$B$5)</f>
        <v>0</v>
      </c>
      <c r="C16" s="16">
        <f>COUNTIFS(Saisie!$D:$D,$A16,Saisie!$G:$G,Paramètres!$B$5)</f>
        <v>0</v>
      </c>
      <c r="D16" s="11" t="str">
        <f>IF($B16=0,"—",LOOKUP($B16,Paramètres!$A$11:$A$14,Paramètres!$B$11:$B$14))</f>
        <v>—</v>
      </c>
      <c r="E16" s="16" t="str">
        <f>IF($B16=0,"",LOOKUP($B16,Paramètres!$A$11:$A$14,Paramètres!$C$11:$C$14))</f>
        <v/>
      </c>
      <c r="F16" s="11" t="str">
        <f>IF($B16=0,"",LOOKUP($B16,Paramètres!$A$11:$A$14,Paramètres!$D$11:$D$14))</f>
        <v/>
      </c>
      <c r="G16" s="11" t="str">
        <f>IF(AND($C16&gt;=2,$B16&gt;=Paramètres!$B$6),"Fractionnement ?","")</f>
        <v/>
      </c>
    </row>
    <row r="17" spans="1:7" x14ac:dyDescent="0.25">
      <c r="A17" s="11" t="s">
        <v>26</v>
      </c>
      <c r="B17" s="21">
        <f>SUMIFS(Saisie!$B:$B,Saisie!$D:$D,$A17,Saisie!$G:$G,Paramètres!$B$5)</f>
        <v>0</v>
      </c>
      <c r="C17" s="16">
        <f>COUNTIFS(Saisie!$D:$D,$A17,Saisie!$G:$G,Paramètres!$B$5)</f>
        <v>0</v>
      </c>
      <c r="D17" s="11" t="str">
        <f>IF($B17=0,"—",LOOKUP($B17,Paramètres!$A$11:$A$14,Paramètres!$B$11:$B$14))</f>
        <v>—</v>
      </c>
      <c r="E17" s="16" t="str">
        <f>IF($B17=0,"",LOOKUP($B17,Paramètres!$A$11:$A$14,Paramètres!$C$11:$C$14))</f>
        <v/>
      </c>
      <c r="F17" s="11" t="str">
        <f>IF($B17=0,"",LOOKUP($B17,Paramètres!$A$11:$A$14,Paramètres!$D$11:$D$14))</f>
        <v/>
      </c>
      <c r="G17" s="11" t="str">
        <f>IF(AND($C17&gt;=2,$B17&gt;=Paramètres!$B$6),"Fractionnement ?","")</f>
        <v/>
      </c>
    </row>
    <row r="18" spans="1:7" x14ac:dyDescent="0.25">
      <c r="A18" s="11" t="s">
        <v>27</v>
      </c>
      <c r="B18" s="21">
        <f>SUMIFS(Saisie!$B:$B,Saisie!$D:$D,$A18,Saisie!$G:$G,Paramètres!$B$5)</f>
        <v>0</v>
      </c>
      <c r="C18" s="16">
        <f>COUNTIFS(Saisie!$D:$D,$A18,Saisie!$G:$G,Paramètres!$B$5)</f>
        <v>0</v>
      </c>
      <c r="D18" s="11" t="str">
        <f>IF($B18=0,"—",LOOKUP($B18,Paramètres!$A$11:$A$14,Paramètres!$B$11:$B$14))</f>
        <v>—</v>
      </c>
      <c r="E18" s="16" t="str">
        <f>IF($B18=0,"",LOOKUP($B18,Paramètres!$A$11:$A$14,Paramètres!$C$11:$C$14))</f>
        <v/>
      </c>
      <c r="F18" s="11" t="str">
        <f>IF($B18=0,"",LOOKUP($B18,Paramètres!$A$11:$A$14,Paramètres!$D$11:$D$14))</f>
        <v/>
      </c>
      <c r="G18" s="11" t="str">
        <f>IF(AND($C18&gt;=2,$B18&gt;=Paramètres!$B$6),"Fractionnement ?","")</f>
        <v/>
      </c>
    </row>
    <row r="19" spans="1:7" x14ac:dyDescent="0.25">
      <c r="A19" s="11" t="s">
        <v>28</v>
      </c>
      <c r="B19" s="21">
        <f>SUMIFS(Saisie!$B:$B,Saisie!$D:$D,$A19,Saisie!$G:$G,Paramètres!$B$5)</f>
        <v>230000</v>
      </c>
      <c r="C19" s="16">
        <f>COUNTIFS(Saisie!$D:$D,$A19,Saisie!$G:$G,Paramètres!$B$5)</f>
        <v>1</v>
      </c>
      <c r="D19" s="11" t="str">
        <f>IF($B19=0,"—",LOOKUP($B19,Paramètres!$A$11:$A$14,Paramètres!$B$11:$B$14))</f>
        <v>Procédure formalisée (AO)</v>
      </c>
      <c r="E19" s="16" t="str">
        <f>IF($B19=0,"",LOOKUP($B19,Paramètres!$A$11:$A$14,Paramètres!$C$11:$C$14))</f>
        <v>Oui</v>
      </c>
      <c r="F19" s="11" t="str">
        <f>IF($B19=0,"",LOOKUP($B19,Paramètres!$A$11:$A$14,Paramètres!$D$11:$D$14))</f>
        <v>BOAMP + JOUE</v>
      </c>
      <c r="G19" s="11" t="str">
        <f>IF(AND($C19&gt;=2,$B19&gt;=Paramètres!$B$6),"Fractionnement ?","")</f>
        <v/>
      </c>
    </row>
    <row r="20" spans="1:7" x14ac:dyDescent="0.25">
      <c r="A20" s="11" t="s">
        <v>29</v>
      </c>
      <c r="B20" s="21">
        <f>SUMIFS(Saisie!$B:$B,Saisie!$D:$D,$A20,Saisie!$G:$G,Paramètres!$B$5)</f>
        <v>0</v>
      </c>
      <c r="C20" s="16">
        <f>COUNTIFS(Saisie!$D:$D,$A20,Saisie!$G:$G,Paramètres!$B$5)</f>
        <v>0</v>
      </c>
      <c r="D20" s="11" t="str">
        <f>IF($B20=0,"—",LOOKUP($B20,Paramètres!$A$11:$A$14,Paramètres!$B$11:$B$14))</f>
        <v>—</v>
      </c>
      <c r="E20" s="16" t="str">
        <f>IF($B20=0,"",LOOKUP($B20,Paramètres!$A$11:$A$14,Paramètres!$C$11:$C$14))</f>
        <v/>
      </c>
      <c r="F20" s="11" t="str">
        <f>IF($B20=0,"",LOOKUP($B20,Paramètres!$A$11:$A$14,Paramètres!$D$11:$D$14))</f>
        <v/>
      </c>
      <c r="G20" s="11" t="str">
        <f>IF(AND($C20&gt;=2,$B20&gt;=Paramètres!$B$6),"Fractionnement ?","")</f>
        <v/>
      </c>
    </row>
    <row r="21" spans="1:7" x14ac:dyDescent="0.25">
      <c r="A21" s="11" t="s">
        <v>30</v>
      </c>
      <c r="B21" s="21">
        <f>SUMIFS(Saisie!$B:$B,Saisie!$D:$D,$A21,Saisie!$G:$G,Paramètres!$B$5)</f>
        <v>0</v>
      </c>
      <c r="C21" s="16">
        <f>COUNTIFS(Saisie!$D:$D,$A21,Saisie!$G:$G,Paramètres!$B$5)</f>
        <v>0</v>
      </c>
      <c r="D21" s="11" t="str">
        <f>IF($B21=0,"—",LOOKUP($B21,Paramètres!$A$11:$A$14,Paramètres!$B$11:$B$14))</f>
        <v>—</v>
      </c>
      <c r="E21" s="16" t="str">
        <f>IF($B21=0,"",LOOKUP($B21,Paramètres!$A$11:$A$14,Paramètres!$C$11:$C$14))</f>
        <v/>
      </c>
      <c r="F21" s="11" t="str">
        <f>IF($B21=0,"",LOOKUP($B21,Paramètres!$A$11:$A$14,Paramètres!$D$11:$D$14))</f>
        <v/>
      </c>
      <c r="G21" s="11" t="str">
        <f>IF(AND($C21&gt;=2,$B21&gt;=Paramètres!$B$6),"Fractionnement ?","")</f>
        <v/>
      </c>
    </row>
    <row r="22" spans="1:7" x14ac:dyDescent="0.25">
      <c r="A22" s="11" t="s">
        <v>31</v>
      </c>
      <c r="B22" s="21">
        <f>SUMIFS(Saisie!$B:$B,Saisie!$D:$D,$A22,Saisie!$G:$G,Paramètres!$B$5)</f>
        <v>0</v>
      </c>
      <c r="C22" s="16">
        <f>COUNTIFS(Saisie!$D:$D,$A22,Saisie!$G:$G,Paramètres!$B$5)</f>
        <v>0</v>
      </c>
      <c r="D22" s="11" t="str">
        <f>IF($B22=0,"—",LOOKUP($B22,Paramètres!$A$11:$A$14,Paramètres!$B$11:$B$14))</f>
        <v>—</v>
      </c>
      <c r="E22" s="16" t="str">
        <f>IF($B22=0,"",LOOKUP($B22,Paramètres!$A$11:$A$14,Paramètres!$C$11:$C$14))</f>
        <v/>
      </c>
      <c r="F22" s="11" t="str">
        <f>IF($B22=0,"",LOOKUP($B22,Paramètres!$A$11:$A$14,Paramètres!$D$11:$D$14))</f>
        <v/>
      </c>
      <c r="G22" s="11" t="str">
        <f>IF(AND($C22&gt;=2,$B22&gt;=Paramètres!$B$6),"Fractionnement ?","")</f>
        <v/>
      </c>
    </row>
    <row r="23" spans="1:7" x14ac:dyDescent="0.25">
      <c r="A23" s="11" t="s">
        <v>32</v>
      </c>
      <c r="B23" s="21">
        <f>SUMIFS(Saisie!$B:$B,Saisie!$D:$D,$A23,Saisie!$G:$G,Paramètres!$B$5)</f>
        <v>0</v>
      </c>
      <c r="C23" s="16">
        <f>COUNTIFS(Saisie!$D:$D,$A23,Saisie!$G:$G,Paramètres!$B$5)</f>
        <v>0</v>
      </c>
      <c r="D23" s="11" t="str">
        <f>IF($B23=0,"—",LOOKUP($B23,Paramètres!$A$11:$A$14,Paramètres!$B$11:$B$14))</f>
        <v>—</v>
      </c>
      <c r="E23" s="16" t="str">
        <f>IF($B23=0,"",LOOKUP($B23,Paramètres!$A$11:$A$14,Paramètres!$C$11:$C$14))</f>
        <v/>
      </c>
      <c r="F23" s="11" t="str">
        <f>IF($B23=0,"",LOOKUP($B23,Paramètres!$A$11:$A$14,Paramètres!$D$11:$D$14))</f>
        <v/>
      </c>
      <c r="G23" s="11" t="str">
        <f>IF(AND($C23&gt;=2,$B23&gt;=Paramètres!$B$6),"Fractionnement ?","")</f>
        <v/>
      </c>
    </row>
    <row r="24" spans="1:7" x14ac:dyDescent="0.25">
      <c r="A24" s="11" t="s">
        <v>33</v>
      </c>
      <c r="B24" s="21">
        <f>SUMIFS(Saisie!$B:$B,Saisie!$D:$D,$A24,Saisie!$G:$G,Paramètres!$B$5)</f>
        <v>0</v>
      </c>
      <c r="C24" s="16">
        <f>COUNTIFS(Saisie!$D:$D,$A24,Saisie!$G:$G,Paramètres!$B$5)</f>
        <v>0</v>
      </c>
      <c r="D24" s="11" t="str">
        <f>IF($B24=0,"—",LOOKUP($B24,Paramètres!$A$11:$A$14,Paramètres!$B$11:$B$14))</f>
        <v>—</v>
      </c>
      <c r="E24" s="16" t="str">
        <f>IF($B24=0,"",LOOKUP($B24,Paramètres!$A$11:$A$14,Paramètres!$C$11:$C$14))</f>
        <v/>
      </c>
      <c r="F24" s="11" t="str">
        <f>IF($B24=0,"",LOOKUP($B24,Paramètres!$A$11:$A$14,Paramètres!$D$11:$D$14))</f>
        <v/>
      </c>
      <c r="G24" s="11" t="str">
        <f>IF(AND($C24&gt;=2,$B24&gt;=Paramètres!$B$6),"Fractionnement ?","")</f>
        <v/>
      </c>
    </row>
  </sheetData>
  <conditionalFormatting sqref="D9:D24">
    <cfRule type="expression" dxfId="3" priority="1">
      <formula>ISNUMBER(SEARCH("formalis",D9))</formula>
    </cfRule>
    <cfRule type="expression" dxfId="2" priority="2">
      <formula>ISNUMBER(SEARCH("MAPA",D9))</formula>
    </cfRule>
    <cfRule type="expression" dxfId="1" priority="3">
      <formula>ISNUMBER(SEARCH("Gré",D9))</formula>
    </cfRule>
  </conditionalFormatting>
  <conditionalFormatting sqref="G9:G24">
    <cfRule type="expression" dxfId="0" priority="4">
      <formula>$G9&lt;&gt;""</formula>
    </cfRule>
  </conditionalFormatting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2"/>
  <sheetViews>
    <sheetView showGridLines="0" workbookViewId="0"/>
  </sheetViews>
  <sheetFormatPr baseColWidth="10" defaultColWidth="9.140625" defaultRowHeight="15" x14ac:dyDescent="0.25"/>
  <cols>
    <col min="1" max="1" width="110" customWidth="1"/>
  </cols>
  <sheetData>
    <row r="1" spans="1:1" ht="19.5" x14ac:dyDescent="0.25">
      <c r="A1" s="23" t="s">
        <v>64</v>
      </c>
    </row>
    <row r="3" spans="1:1" ht="15.75" x14ac:dyDescent="0.25">
      <c r="A3" s="24" t="s">
        <v>65</v>
      </c>
    </row>
    <row r="4" spans="1:1" ht="45" x14ac:dyDescent="0.25">
      <c r="A4" s="25" t="s">
        <v>66</v>
      </c>
    </row>
    <row r="5" spans="1:1" ht="45" x14ac:dyDescent="0.25">
      <c r="A5" s="26" t="s">
        <v>67</v>
      </c>
    </row>
    <row r="7" spans="1:1" ht="15.75" x14ac:dyDescent="0.25">
      <c r="A7" s="24" t="s">
        <v>68</v>
      </c>
    </row>
    <row r="8" spans="1:1" x14ac:dyDescent="0.25">
      <c r="A8" s="25" t="s">
        <v>69</v>
      </c>
    </row>
    <row r="9" spans="1:1" x14ac:dyDescent="0.25">
      <c r="A9" s="25" t="s">
        <v>70</v>
      </c>
    </row>
    <row r="10" spans="1:1" x14ac:dyDescent="0.25">
      <c r="A10" s="25" t="s">
        <v>71</v>
      </c>
    </row>
    <row r="11" spans="1:1" x14ac:dyDescent="0.25">
      <c r="A11" s="25" t="s">
        <v>72</v>
      </c>
    </row>
    <row r="13" spans="1:1" ht="15.75" x14ac:dyDescent="0.25">
      <c r="A13" s="24" t="s">
        <v>73</v>
      </c>
    </row>
    <row r="14" spans="1:1" x14ac:dyDescent="0.25">
      <c r="A14" s="27" t="s">
        <v>74</v>
      </c>
    </row>
    <row r="15" spans="1:1" x14ac:dyDescent="0.25">
      <c r="A15" s="27" t="s">
        <v>75</v>
      </c>
    </row>
    <row r="16" spans="1:1" x14ac:dyDescent="0.25">
      <c r="A16" s="27" t="s">
        <v>76</v>
      </c>
    </row>
    <row r="17" spans="1:1" x14ac:dyDescent="0.25">
      <c r="A17" s="27" t="s">
        <v>77</v>
      </c>
    </row>
    <row r="19" spans="1:1" ht="15.75" x14ac:dyDescent="0.25">
      <c r="A19" s="24" t="s">
        <v>78</v>
      </c>
    </row>
    <row r="20" spans="1:1" ht="25.5" x14ac:dyDescent="0.25">
      <c r="A20" s="28" t="s">
        <v>79</v>
      </c>
    </row>
    <row r="22" spans="1:1" ht="25.5" x14ac:dyDescent="0.25">
      <c r="A22" s="29" t="s">
        <v>80</v>
      </c>
    </row>
  </sheetData>
  <hyperlinks>
    <hyperlink ref="A14" r:id="rId1" xr:uid="{00000000-0004-0000-0300-000000000000}"/>
    <hyperlink ref="A15" r:id="rId2" xr:uid="{00000000-0004-0000-0300-000001000000}"/>
    <hyperlink ref="A16" r:id="rId3" xr:uid="{00000000-0004-0000-0300-000002000000}"/>
    <hyperlink ref="A17" r:id="rId4" xr:uid="{00000000-0004-0000-0300-000003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2</vt:i4>
      </vt:variant>
    </vt:vector>
  </HeadingPairs>
  <TitlesOfParts>
    <vt:vector size="7" baseType="lpstr">
      <vt:lpstr>Paramètres</vt:lpstr>
      <vt:lpstr>Feuil1</vt:lpstr>
      <vt:lpstr>Saisie</vt:lpstr>
      <vt:lpstr>Tableau de bord</vt:lpstr>
      <vt:lpstr>Aide &amp; sources</vt:lpstr>
      <vt:lpstr>Familles</vt:lpstr>
      <vt:lpstr>TypesAcheteur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 XBTC</cp:lastModifiedBy>
  <dcterms:created xsi:type="dcterms:W3CDTF">2026-06-19T12:52:11Z</dcterms:created>
  <dcterms:modified xsi:type="dcterms:W3CDTF">2026-06-19T13:04:30Z</dcterms:modified>
</cp:coreProperties>
</file>